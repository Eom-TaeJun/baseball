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8_{BED1673B-2C77-4F16-87CD-8C956AFE8768}" xr6:coauthVersionLast="47" xr6:coauthVersionMax="47" xr10:uidLastSave="{00000000-0000-0000-0000-000000000000}"/>
  <bookViews>
    <workbookView xWindow="653" yWindow="870" windowWidth="14024" windowHeight="11910" xr2:uid="{4A699666-A1DD-4653-BE6B-060284F99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N4" i="1"/>
  <c r="M4" i="1"/>
  <c r="L4" i="1"/>
  <c r="K4" i="1"/>
  <c r="J4" i="1"/>
  <c r="I4" i="1"/>
  <c r="H4" i="1"/>
  <c r="G4" i="1"/>
</calcChain>
</file>

<file path=xl/sharedStrings.xml><?xml version="1.0" encoding="utf-8"?>
<sst xmlns="http://schemas.openxmlformats.org/spreadsheetml/2006/main" count="38" uniqueCount="32">
  <si>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</si>
  <si>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</si>
  <si>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</si>
  <si>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</si>
  <si>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</si>
  <si>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</si>
  <si>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</si>
  <si>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</si>
  <si>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</si>
  <si>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</si>
  <si>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</si>
  <si>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</si>
  <si>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</si>
  <si>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</si>
  <si>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</si>
  <si>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</si>
  <si>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</si>
  <si>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</si>
  <si>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</si>
  <si>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</si>
  <si>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</si>
  <si>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</si>
  <si>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</si>
  <si>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avg</t>
    <phoneticPr fontId="1" type="noConversion"/>
  </si>
  <si>
    <t>Pa-ab</t>
    <phoneticPr fontId="1" type="noConversion"/>
  </si>
  <si>
    <t>nonplay</t>
    <phoneticPr fontId="1" type="noConversion"/>
  </si>
  <si>
    <t>nonso</t>
    <phoneticPr fontId="1" type="noConversion"/>
  </si>
  <si>
    <t>kper</t>
    <phoneticPr fontId="1" type="noConversion"/>
  </si>
  <si>
    <t>bper</t>
    <phoneticPr fontId="1" type="noConversion"/>
  </si>
  <si>
    <t>babip</t>
    <phoneticPr fontId="1" type="noConversion"/>
  </si>
  <si>
    <t>biper</t>
    <phoneticPr fontId="1" type="noConversion"/>
  </si>
  <si>
    <t>BIP(inpaly)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</si>
</sst>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FB71-3A51-4077-9FCC-24282C74C7DC}">
  <dimension ref="A1:W4"/>
  <sheetViews>
    <sheetView tabSelected="1" workbookViewId="0">
      <selection activeCell="O4" sqref="A1:O4"/>
    </sheetView>
  </sheetViews>
  <sheetFormatPr defaultRowHeight="16.899999999999999" x14ac:dyDescent="0.6"/>
  <sheetData>
    <row r="1" spans="1:23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6">
      <c r="A2" s="3">
        <v>1</v>
      </c>
      <c r="B2" s="4">
        <v>2024</v>
      </c>
      <c r="C2" s="4">
        <v>4858</v>
      </c>
      <c r="D2" s="4">
        <v>71274</v>
      </c>
      <c r="E2" s="4">
        <v>163687</v>
      </c>
      <c r="F2" s="4">
        <v>182449</v>
      </c>
      <c r="G2" s="4">
        <v>39823</v>
      </c>
      <c r="H2" s="4">
        <v>25902</v>
      </c>
      <c r="I2" s="4">
        <v>7771</v>
      </c>
      <c r="J2" s="4">
        <v>697</v>
      </c>
      <c r="K2" s="4">
        <v>5453</v>
      </c>
      <c r="L2" s="4">
        <v>21343</v>
      </c>
      <c r="M2" s="4">
        <v>20379</v>
      </c>
      <c r="N2" s="4">
        <v>14929</v>
      </c>
      <c r="O2" s="4">
        <v>509</v>
      </c>
      <c r="P2" s="4">
        <v>41197</v>
      </c>
      <c r="Q2" s="4">
        <v>2020</v>
      </c>
      <c r="R2" s="4">
        <v>1261</v>
      </c>
      <c r="S2" s="4">
        <v>452</v>
      </c>
      <c r="T2" s="4">
        <v>3227</v>
      </c>
      <c r="U2" s="4">
        <v>3617</v>
      </c>
      <c r="V2" s="4">
        <v>961</v>
      </c>
      <c r="W2" s="4">
        <v>0.24299999999999999</v>
      </c>
    </row>
    <row r="3" spans="1:23" x14ac:dyDescent="0.6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31</v>
      </c>
      <c r="L3" s="2" t="s">
        <v>28</v>
      </c>
      <c r="M3" s="2" t="s">
        <v>27</v>
      </c>
      <c r="N3" s="2" t="s">
        <v>29</v>
      </c>
      <c r="O3" s="2" t="s">
        <v>30</v>
      </c>
    </row>
    <row r="4" spans="1:23" x14ac:dyDescent="0.6">
      <c r="A4" s="3">
        <v>1</v>
      </c>
      <c r="B4" s="4">
        <v>2024</v>
      </c>
      <c r="C4" s="4">
        <v>4858</v>
      </c>
      <c r="D4" s="4">
        <v>71274</v>
      </c>
      <c r="E4" s="4">
        <v>163687</v>
      </c>
      <c r="F4" s="4">
        <v>182449</v>
      </c>
      <c r="G4" s="4">
        <f xml:space="preserve"> G2/E4</f>
        <v>0.24328749381441409</v>
      </c>
      <c r="H4" s="4">
        <f>F2-E2</f>
        <v>18762</v>
      </c>
      <c r="I4" s="4">
        <f>N2+P2+Q2+R2+S2</f>
        <v>59859</v>
      </c>
      <c r="J4" s="4">
        <f>N2+Q2+R2+S2</f>
        <v>18662</v>
      </c>
      <c r="K4" s="4">
        <f>E2-P2-N2-Q2-K2</f>
        <v>100088</v>
      </c>
      <c r="L4">
        <f>N2/F2</f>
        <v>8.182560605977561E-2</v>
      </c>
      <c r="M4">
        <f>P2/F2</f>
        <v>0.2258000865995429</v>
      </c>
      <c r="N4">
        <f>(G2-K2)/(E2-P2-K2+R2)</f>
        <v>0.29053745625454364</v>
      </c>
      <c r="O4">
        <f>(E2-P2-K2)/F2</f>
        <v>0.64147789245213727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TaeJun Eom</dc:creator>
  <cp:lastModifiedBy>TaeJun Eom</cp:lastModifiedBy>
  <dcterms:created xsi:type="dcterms:W3CDTF">2025-11-01T16:53:23Z</dcterms:created>
  <dcterms:modified xsi:type="dcterms:W3CDTF">2025-11-01T17:45:53Z</dcterms:modified>
</cp:coreProperties>
</file>